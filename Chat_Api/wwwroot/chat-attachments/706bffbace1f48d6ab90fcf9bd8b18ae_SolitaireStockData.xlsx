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_MVC_Project\1.MVC FINAL\DiasenseSoftware\excelfolder\"/>
    </mc:Choice>
  </mc:AlternateContent>
  <bookViews>
    <workbookView xWindow="0" yWindow="0" windowWidth="2040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W3" i="1" l="1"/>
  <c r="DU3" i="1"/>
  <c r="DS3" i="1"/>
  <c r="DP3" i="1"/>
  <c r="DQ3" i="1" s="1"/>
  <c r="DC3" i="1"/>
  <c r="DG3" i="1" s="1"/>
  <c r="O3" i="1"/>
  <c r="P3" i="1" s="1"/>
  <c r="DW2" i="1"/>
  <c r="DU2" i="1"/>
  <c r="DS2" i="1"/>
  <c r="DQ2" i="1"/>
  <c r="DP2" i="1"/>
  <c r="DG2" i="1"/>
  <c r="DJ2" i="1" s="1"/>
  <c r="DC2" i="1"/>
  <c r="O2" i="1"/>
  <c r="P2" i="1" s="1"/>
  <c r="DL3" i="1" l="1"/>
  <c r="DJ3" i="1"/>
  <c r="DL2" i="1"/>
</calcChain>
</file>

<file path=xl/sharedStrings.xml><?xml version="1.0" encoding="utf-8"?>
<sst xmlns="http://schemas.openxmlformats.org/spreadsheetml/2006/main" count="211" uniqueCount="187">
  <si>
    <t>LotNo</t>
  </si>
  <si>
    <t>ItemName</t>
  </si>
  <si>
    <t>Category</t>
  </si>
  <si>
    <t>ProductType</t>
  </si>
  <si>
    <t>ItemGroupId</t>
  </si>
  <si>
    <t>ShapeId</t>
  </si>
  <si>
    <t>SieveId</t>
  </si>
  <si>
    <t>SizeId</t>
  </si>
  <si>
    <t>ColorId</t>
  </si>
  <si>
    <t>ClarityId</t>
  </si>
  <si>
    <t>Pcs</t>
  </si>
  <si>
    <t>Opening Carat</t>
  </si>
  <si>
    <t>MRP</t>
  </si>
  <si>
    <t>Back</t>
  </si>
  <si>
    <t>AskingRate</t>
  </si>
  <si>
    <t>AskingAmount</t>
  </si>
  <si>
    <t>BoxName</t>
  </si>
  <si>
    <t>BoxRate</t>
  </si>
  <si>
    <t>CertId</t>
  </si>
  <si>
    <t>CertificateNo</t>
  </si>
  <si>
    <t>PropId</t>
  </si>
  <si>
    <t>PolishId</t>
  </si>
  <si>
    <t>SymId</t>
  </si>
  <si>
    <t>FLId</t>
  </si>
  <si>
    <t>FLColor</t>
  </si>
  <si>
    <t>HAID</t>
  </si>
  <si>
    <t>FancyColor</t>
  </si>
  <si>
    <t>FancyColorIntensity</t>
  </si>
  <si>
    <t>FancyColorOvertone</t>
  </si>
  <si>
    <t>L</t>
  </si>
  <si>
    <t>W</t>
  </si>
  <si>
    <t>D</t>
  </si>
  <si>
    <t>Diameter</t>
  </si>
  <si>
    <t>Measurement</t>
  </si>
  <si>
    <t>LWRatio</t>
  </si>
  <si>
    <t>TotDepth</t>
  </si>
  <si>
    <t>TablePer</t>
  </si>
  <si>
    <t>CrownHeight</t>
  </si>
  <si>
    <t>CrownAngle</t>
  </si>
  <si>
    <t>PavilionDepth</t>
  </si>
  <si>
    <t>PavilionHeight</t>
  </si>
  <si>
    <t>PavilionPer</t>
  </si>
  <si>
    <t>GirdleMin</t>
  </si>
  <si>
    <t>GirdleMax</t>
  </si>
  <si>
    <t>GirdleMinMS</t>
  </si>
  <si>
    <t>GirdleMaxMS</t>
  </si>
  <si>
    <t>GirdleCondition</t>
  </si>
  <si>
    <t>GirdlePer</t>
  </si>
  <si>
    <t>CuletId</t>
  </si>
  <si>
    <t>CuletCondition</t>
  </si>
  <si>
    <t>StrLn</t>
  </si>
  <si>
    <t>LrHalf</t>
  </si>
  <si>
    <t>KeyToSymbols</t>
  </si>
  <si>
    <t>LABComments</t>
  </si>
  <si>
    <t>Instruction</t>
  </si>
  <si>
    <t>LaserInscription</t>
  </si>
  <si>
    <t>LaserInscriptionText</t>
  </si>
  <si>
    <t>LABIssueDate</t>
  </si>
  <si>
    <t>LABResultDate</t>
  </si>
  <si>
    <t>LabReportDate</t>
  </si>
  <si>
    <t>BrownId</t>
  </si>
  <si>
    <t>GreenId</t>
  </si>
  <si>
    <t>MilkyId</t>
  </si>
  <si>
    <t>LusterId</t>
  </si>
  <si>
    <t>NattsId</t>
  </si>
  <si>
    <t>ButhId</t>
  </si>
  <si>
    <t>TableInclusion</t>
  </si>
  <si>
    <t>CrownInclusion</t>
  </si>
  <si>
    <t>OIT</t>
  </si>
  <si>
    <t>OIG</t>
  </si>
  <si>
    <t>OIC</t>
  </si>
  <si>
    <t>OIP</t>
  </si>
  <si>
    <t>EyeClean</t>
  </si>
  <si>
    <t>PolishFeatures</t>
  </si>
  <si>
    <t>SymFeatures</t>
  </si>
  <si>
    <t>ShadeId</t>
  </si>
  <si>
    <t>IdealImagePath</t>
  </si>
  <si>
    <t>AsetImagePath</t>
  </si>
  <si>
    <t>HeartsImagePath</t>
  </si>
  <si>
    <t>ArrowsImagePath</t>
  </si>
  <si>
    <t>B2BVideoPath</t>
  </si>
  <si>
    <t>B2CVideoPath</t>
  </si>
  <si>
    <t>B2BDNAPagePath</t>
  </si>
  <si>
    <t>B2CDNAPagePath</t>
  </si>
  <si>
    <t>CertificatePath</t>
  </si>
  <si>
    <t>PlottingImagePath</t>
  </si>
  <si>
    <t>PurchaseDate</t>
  </si>
  <si>
    <t>RateReviseDate</t>
  </si>
  <si>
    <t>NewArrivalDate</t>
  </si>
  <si>
    <t>PublicRemarks</t>
  </si>
  <si>
    <t>PrivateRemarks</t>
  </si>
  <si>
    <t>AdminRemarks</t>
  </si>
  <si>
    <t>MfgSeriesID</t>
  </si>
  <si>
    <t>MfgPacketID</t>
  </si>
  <si>
    <t>CertExpense</t>
  </si>
  <si>
    <t>Status</t>
  </si>
  <si>
    <t>NotShow</t>
  </si>
  <si>
    <t>SupplierLotNo</t>
  </si>
  <si>
    <t>TableBlack</t>
  </si>
  <si>
    <t>CurCode</t>
  </si>
  <si>
    <t>City</t>
  </si>
  <si>
    <t>State</t>
  </si>
  <si>
    <t>Country</t>
  </si>
  <si>
    <t>PurchaseCarats</t>
  </si>
  <si>
    <t>PurchaseMRP</t>
  </si>
  <si>
    <t>PurchaseBack</t>
  </si>
  <si>
    <t>PurchaseRate</t>
  </si>
  <si>
    <t>Less1</t>
  </si>
  <si>
    <t>Less2</t>
  </si>
  <si>
    <t>Less3</t>
  </si>
  <si>
    <t>PurchaseAmount</t>
  </si>
  <si>
    <t>PDollorRate</t>
  </si>
  <si>
    <t>MasterCurrencyRate</t>
  </si>
  <si>
    <t>MasterCurrencyAmount</t>
  </si>
  <si>
    <t>StockCurrencyRate</t>
  </si>
  <si>
    <t>StockCurrencyAmount</t>
  </si>
  <si>
    <t>AdatPer</t>
  </si>
  <si>
    <t>Brokerper</t>
  </si>
  <si>
    <t>ActualBack</t>
  </si>
  <si>
    <t>ActualRate</t>
  </si>
  <si>
    <t>ActualAmount</t>
  </si>
  <si>
    <t>B2BBack</t>
  </si>
  <si>
    <t>B2BRate</t>
  </si>
  <si>
    <t>B2CBack</t>
  </si>
  <si>
    <t>B2CRate</t>
  </si>
  <si>
    <t>BottomBack</t>
  </si>
  <si>
    <t>BottomRate</t>
  </si>
  <si>
    <t>Video</t>
  </si>
  <si>
    <t>ImagePath</t>
  </si>
  <si>
    <t>VideoPath</t>
  </si>
  <si>
    <t>DNA Page Path</t>
  </si>
  <si>
    <t>MinesId</t>
  </si>
  <si>
    <t>Rfidcode</t>
  </si>
  <si>
    <t>A10001</t>
  </si>
  <si>
    <t>RD H VS1 1.00 CRT UP A10001</t>
  </si>
  <si>
    <t>RD</t>
  </si>
  <si>
    <t>1.00 CRT UP</t>
  </si>
  <si>
    <t>H</t>
  </si>
  <si>
    <t>VS1</t>
  </si>
  <si>
    <t>GIA</t>
  </si>
  <si>
    <t>EX</t>
  </si>
  <si>
    <t>None</t>
  </si>
  <si>
    <t>5.25-5.26x3.25</t>
  </si>
  <si>
    <t>Slightly Faceted</t>
  </si>
  <si>
    <t>Crystal</t>
  </si>
  <si>
    <t>Additional Feather</t>
  </si>
  <si>
    <t>GIA 56241258412</t>
  </si>
  <si>
    <t>https://www.diasense.com/diamondimages/IdealImage/A10001.jpg</t>
  </si>
  <si>
    <t>https://www.diasense.com/diamondimages/AsetImage/A10001.jpg</t>
  </si>
  <si>
    <t>https://www.diasense.com/diamondimages/HeartImage/A10001.jpg</t>
  </si>
  <si>
    <t>https://www.diasense.com/diamondimages/ArrowImage/A10001.jpg</t>
  </si>
  <si>
    <t>https://www.diasense.com/diamondimages/B2BVideo/A10001.mp4</t>
  </si>
  <si>
    <t>https://www.diasense.com/diamondimages/B2CVideo/A10001.mp4</t>
  </si>
  <si>
    <t>https://www.diasense.com/DiamondDNAB2B/A10001.aspx</t>
  </si>
  <si>
    <t>https://www.diasense.com/DiamondDNAB2C/A10001.aspx</t>
  </si>
  <si>
    <t>https://www.diasense.com/Cert/A10001.pdf</t>
  </si>
  <si>
    <t>https://www.diasense.com/diamondimages/plotting/A10001.jpg</t>
  </si>
  <si>
    <t>M1</t>
  </si>
  <si>
    <t>S</t>
  </si>
  <si>
    <t>Mumbai</t>
  </si>
  <si>
    <t>Maharashtra</t>
  </si>
  <si>
    <t>India</t>
  </si>
  <si>
    <t>https://www.diasense.com/diamondimages/Image/A10001.jpg</t>
  </si>
  <si>
    <t>https://www.diasense.com/Video/A10001.mp4</t>
  </si>
  <si>
    <t>DTC</t>
  </si>
  <si>
    <t>A10002</t>
  </si>
  <si>
    <t>RD D IF 0.90 CRT UP A10002</t>
  </si>
  <si>
    <t>0.90 CRT UP</t>
  </si>
  <si>
    <t>IF</t>
  </si>
  <si>
    <t>IGI</t>
  </si>
  <si>
    <t>5.09-5.11x3.15</t>
  </si>
  <si>
    <t>Pinpoint</t>
  </si>
  <si>
    <t>IGI 12124578450</t>
  </si>
  <si>
    <t>https://www.diasense.com/diamondimages/IdealImage/A10002.jpg</t>
  </si>
  <si>
    <t>https://www.diasense.com/diamondimages/AsetImage/A10002.jpg</t>
  </si>
  <si>
    <t>https://www.diasense.com/diamondimages/HeartImage/A10002.jpg</t>
  </si>
  <si>
    <t>https://www.diasense.com/diamondimages/ArrowImage/A10002.jpg</t>
  </si>
  <si>
    <t>https://www.diasense.com/diamondimages/B2BVideo/A10002.mp4</t>
  </si>
  <si>
    <t>https://www.diasense.com/diamondimages/B2CVideo/A10002.mp4</t>
  </si>
  <si>
    <t>https://www.diasense.com/DiamondDNAB2B/A10002.aspx</t>
  </si>
  <si>
    <t>https://www.diasense.com/DiamondDNAB2C/A10002.aspx</t>
  </si>
  <si>
    <t>https://www.diasense.com/Cert/A10002.pdf</t>
  </si>
  <si>
    <t>https://www.diasense.com/diamondimages/plotting/A10002.jpg</t>
  </si>
  <si>
    <t>M2</t>
  </si>
  <si>
    <t>https://www.diasense.com/diamondimages/Image/A10002.jpg</t>
  </si>
  <si>
    <t>https://www.diasense.com/Video/A10002.mp4</t>
  </si>
  <si>
    <t>ALROSA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</si>
</sst>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/mmm/yy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Fill="1"/>
    <xf numFmtId="0" fontId="0" fillId="0" borderId="0" xfId="0" quotePrefix="1"/>
    <xf numFmtId="2" fontId="0" fillId="0" borderId="0" xfId="0" applyNumberFormat="1"/>
    <xf numFmtId="47" fontId="0" fillId="0" borderId="0" xfId="0" applyNumberFormat="1"/>
    <xf numFmtId="164" fontId="0" fillId="0" borderId="0" xfId="0" applyNumberFormat="1"/>
    <xf numFmtId="0" fontId="1" fillId="0" borderId="0" xfId="1"/>
    <xf numFmtId="15" fontId="0" fillId="0" borderId="0" xfId="0" quotePrefix="1" applyNumberFormat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asense.com/diamondimages/B2BVideo/A10001.mp4" TargetMode="External"/><Relationship Id="rId13" Type="http://schemas.openxmlformats.org/officeDocument/2006/relationships/hyperlink" Target="https://www.diasense.com/diamondimages/B2CVideo/A10001.mp4" TargetMode="External"/><Relationship Id="rId18" Type="http://schemas.openxmlformats.org/officeDocument/2006/relationships/hyperlink" Target="https://www.diasense.com/Cert/A10001.pdf" TargetMode="External"/><Relationship Id="rId26" Type="http://schemas.openxmlformats.org/officeDocument/2006/relationships/hyperlink" Target="https://www.diasense.com/DiamondDNAB2B/A10002.aspx" TargetMode="External"/><Relationship Id="rId3" Type="http://schemas.openxmlformats.org/officeDocument/2006/relationships/hyperlink" Target="https://www.diasense.com/diamondimages/AsetImage/A10001.jpg" TargetMode="External"/><Relationship Id="rId21" Type="http://schemas.openxmlformats.org/officeDocument/2006/relationships/hyperlink" Target="https://www.diasense.com/diamondimages/Image/A10001.jpg" TargetMode="External"/><Relationship Id="rId7" Type="http://schemas.openxmlformats.org/officeDocument/2006/relationships/hyperlink" Target="https://www.diasense.com/diamondimages/ArrowImage/A10002.jpg" TargetMode="External"/><Relationship Id="rId12" Type="http://schemas.openxmlformats.org/officeDocument/2006/relationships/hyperlink" Target="https://www.diasense.com/diamondimages/B2BVideo/A10002.mp4" TargetMode="External"/><Relationship Id="rId17" Type="http://schemas.openxmlformats.org/officeDocument/2006/relationships/hyperlink" Target="https://www.diasense.com/DiamondDNAB2C/A10002.aspx" TargetMode="External"/><Relationship Id="rId25" Type="http://schemas.openxmlformats.org/officeDocument/2006/relationships/hyperlink" Target="https://www.diasense.com/DiamondDNAB2B/A10001.aspx" TargetMode="External"/><Relationship Id="rId2" Type="http://schemas.openxmlformats.org/officeDocument/2006/relationships/hyperlink" Target="https://www.diasense.com/diamondimages/IdealImage/A10002.jpg" TargetMode="External"/><Relationship Id="rId16" Type="http://schemas.openxmlformats.org/officeDocument/2006/relationships/hyperlink" Target="https://www.diasense.com/DiamondDNAB2C/A10001.aspx" TargetMode="External"/><Relationship Id="rId20" Type="http://schemas.openxmlformats.org/officeDocument/2006/relationships/hyperlink" Target="https://www.diasense.com/diamondimages/plotting/A10002.jpg" TargetMode="External"/><Relationship Id="rId1" Type="http://schemas.openxmlformats.org/officeDocument/2006/relationships/hyperlink" Target="https://www.diasense.com/diamondimages/IdealImage/A10001.jpg" TargetMode="External"/><Relationship Id="rId6" Type="http://schemas.openxmlformats.org/officeDocument/2006/relationships/hyperlink" Target="https://www.diasense.com/diamondimages/ArrowImage/A10001.jpg" TargetMode="External"/><Relationship Id="rId11" Type="http://schemas.openxmlformats.org/officeDocument/2006/relationships/hyperlink" Target="https://www.diasense.com/diamondimages/AsetImage/A10002.jpg" TargetMode="External"/><Relationship Id="rId24" Type="http://schemas.openxmlformats.org/officeDocument/2006/relationships/hyperlink" Target="https://www.diasense.com/Video/A10002.mp4" TargetMode="External"/><Relationship Id="rId5" Type="http://schemas.openxmlformats.org/officeDocument/2006/relationships/hyperlink" Target="https://www.diasense.com/diamondimages/HeartImage/A10002.jpg" TargetMode="External"/><Relationship Id="rId15" Type="http://schemas.openxmlformats.org/officeDocument/2006/relationships/hyperlink" Target="https://www.diasense.com/DiamondDNAB2B/A10002.aspx" TargetMode="External"/><Relationship Id="rId23" Type="http://schemas.openxmlformats.org/officeDocument/2006/relationships/hyperlink" Target="https://www.diasense.com/Video/A10001.mp4" TargetMode="External"/><Relationship Id="rId10" Type="http://schemas.openxmlformats.org/officeDocument/2006/relationships/hyperlink" Target="https://www.diasense.com/diamondimages/plotting/A10001.jpg" TargetMode="External"/><Relationship Id="rId19" Type="http://schemas.openxmlformats.org/officeDocument/2006/relationships/hyperlink" Target="https://www.diasense.com/Cert/A10002.pdf" TargetMode="External"/><Relationship Id="rId4" Type="http://schemas.openxmlformats.org/officeDocument/2006/relationships/hyperlink" Target="https://www.diasense.com/diamondimages/HeartImage/A10001.jpg" TargetMode="External"/><Relationship Id="rId9" Type="http://schemas.openxmlformats.org/officeDocument/2006/relationships/hyperlink" Target="https://www.diasense.com/DiamondDNAB2B/A10001.aspx" TargetMode="External"/><Relationship Id="rId14" Type="http://schemas.openxmlformats.org/officeDocument/2006/relationships/hyperlink" Target="https://www.diasense.com/diamondimages/B2CVideo/A10002.mp4" TargetMode="External"/><Relationship Id="rId22" Type="http://schemas.openxmlformats.org/officeDocument/2006/relationships/hyperlink" Target="https://www.diasense.com/diamondimages/Image/A1000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3"/>
  <sheetViews>
    <sheetView tabSelected="1" topLeftCell="BL1" workbookViewId="0">
      <selection activeCell="BV6" sqref="BV6"/>
    </sheetView>
  </sheetViews>
  <sheetFormatPr defaultRowHeight="15" x14ac:dyDescent="0.25"/>
  <cols>
    <col min="3" max="3" width="8.85546875" bestFit="1" customWidth="1"/>
    <col min="40" max="40" width="16.7109375" customWidth="1"/>
    <col min="41" max="41" width="20.28515625" customWidth="1"/>
    <col min="42" max="42" width="19" customWidth="1"/>
    <col min="43" max="43" width="13.5703125" customWidth="1"/>
    <col min="44" max="44" width="15.28515625" customWidth="1"/>
    <col min="45" max="45" width="15" customWidth="1"/>
    <col min="46" max="46" width="17.140625" customWidth="1"/>
    <col min="47" max="47" width="15.28515625" bestFit="1" customWidth="1"/>
    <col min="48" max="48" width="9.42578125" bestFit="1" customWidth="1"/>
    <col min="50" max="50" width="15" customWidth="1"/>
    <col min="53" max="53" width="17.7109375" customWidth="1"/>
    <col min="55" max="55" width="16.5703125" customWidth="1"/>
    <col min="56" max="56" width="20.42578125" customWidth="1"/>
    <col min="59" max="59" width="14.140625" bestFit="1" customWidth="1"/>
    <col min="60" max="60" width="14.28515625" bestFit="1" customWidth="1"/>
    <col min="74" max="74" width="14.28515625" bestFit="1" customWidth="1"/>
    <col min="116" max="116" width="13" customWidth="1"/>
    <col min="118" max="118" width="9.85546875" bestFit="1" customWidth="1"/>
    <col min="119" max="119" width="16.7109375" customWidth="1"/>
    <col min="120" max="120" width="13.7109375" customWidth="1"/>
    <col min="121" max="121" width="13.85546875" bestFit="1" customWidth="1"/>
    <col min="128" max="128" width="6.28515625" bestFit="1" customWidth="1"/>
    <col min="129" max="129" width="58.7109375" bestFit="1" customWidth="1"/>
  </cols>
  <sheetData>
    <row r="1" spans="1:1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s="1" t="s">
        <v>94</v>
      </c>
      <c r="CR1" s="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s="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</row>
    <row r="2" spans="1:133" x14ac:dyDescent="0.25">
      <c r="A2" t="s">
        <v>133</v>
      </c>
      <c r="B2" t="s">
        <v>134</v>
      </c>
      <c r="F2" t="s">
        <v>135</v>
      </c>
      <c r="H2" t="s">
        <v>136</v>
      </c>
      <c r="I2" t="s">
        <v>137</v>
      </c>
      <c r="J2" t="s">
        <v>138</v>
      </c>
      <c r="K2">
        <v>1</v>
      </c>
      <c r="L2">
        <v>1.02</v>
      </c>
      <c r="M2">
        <v>22000</v>
      </c>
      <c r="N2">
        <v>-30</v>
      </c>
      <c r="O2">
        <f>M2+(M2*N2/100)</f>
        <v>15400</v>
      </c>
      <c r="P2">
        <f>L2*O2</f>
        <v>15708</v>
      </c>
      <c r="S2" t="s">
        <v>139</v>
      </c>
      <c r="T2">
        <v>56241258412</v>
      </c>
      <c r="U2" t="s">
        <v>140</v>
      </c>
      <c r="V2" t="s">
        <v>140</v>
      </c>
      <c r="W2" t="s">
        <v>140</v>
      </c>
      <c r="X2" t="s">
        <v>141</v>
      </c>
      <c r="AD2">
        <v>5.25</v>
      </c>
      <c r="AE2">
        <v>5.26</v>
      </c>
      <c r="AF2">
        <v>3.25</v>
      </c>
      <c r="AG2">
        <v>5.26</v>
      </c>
      <c r="AH2" s="2" t="s">
        <v>142</v>
      </c>
      <c r="AI2">
        <v>1.01</v>
      </c>
      <c r="AJ2">
        <v>62.51</v>
      </c>
      <c r="AK2" s="3">
        <v>58</v>
      </c>
      <c r="AL2">
        <v>15.5</v>
      </c>
      <c r="AM2">
        <v>36.5</v>
      </c>
      <c r="AN2" s="3">
        <v>41</v>
      </c>
      <c r="AO2" s="3">
        <v>43</v>
      </c>
      <c r="AP2">
        <v>0</v>
      </c>
      <c r="AU2" t="s">
        <v>143</v>
      </c>
      <c r="AV2" s="3">
        <v>4</v>
      </c>
      <c r="AW2" t="s">
        <v>141</v>
      </c>
      <c r="AY2">
        <v>0</v>
      </c>
      <c r="AZ2">
        <v>0</v>
      </c>
      <c r="BA2" t="s">
        <v>144</v>
      </c>
      <c r="BB2" t="s">
        <v>145</v>
      </c>
      <c r="BD2">
        <v>1</v>
      </c>
      <c r="BE2" t="s">
        <v>146</v>
      </c>
      <c r="BF2" s="4"/>
      <c r="BG2" s="5">
        <v>45352</v>
      </c>
      <c r="BH2" s="5">
        <v>45361</v>
      </c>
      <c r="BI2" t="s">
        <v>141</v>
      </c>
      <c r="BJ2" t="s">
        <v>141</v>
      </c>
      <c r="BK2" t="s">
        <v>141</v>
      </c>
      <c r="BU2">
        <v>100</v>
      </c>
      <c r="BY2" s="6" t="s">
        <v>147</v>
      </c>
      <c r="BZ2" s="6" t="s">
        <v>148</v>
      </c>
      <c r="CA2" s="6" t="s">
        <v>149</v>
      </c>
      <c r="CB2" s="6" t="s">
        <v>150</v>
      </c>
      <c r="CC2" s="6" t="s">
        <v>151</v>
      </c>
      <c r="CD2" s="6" t="s">
        <v>152</v>
      </c>
      <c r="CE2" s="6" t="s">
        <v>153</v>
      </c>
      <c r="CF2" s="6" t="s">
        <v>154</v>
      </c>
      <c r="CG2" s="6" t="s">
        <v>155</v>
      </c>
      <c r="CH2" s="6" t="s">
        <v>156</v>
      </c>
      <c r="CI2" s="7">
        <v>45292</v>
      </c>
      <c r="CJ2" s="8">
        <v>45417</v>
      </c>
      <c r="CK2" s="7">
        <v>45292</v>
      </c>
      <c r="CO2" t="s">
        <v>157</v>
      </c>
      <c r="CP2">
        <v>101</v>
      </c>
      <c r="CQ2" s="1">
        <v>25</v>
      </c>
      <c r="CR2" s="1" t="s">
        <v>158</v>
      </c>
      <c r="CS2">
        <v>0</v>
      </c>
      <c r="CV2">
        <v>7</v>
      </c>
      <c r="CW2" t="s">
        <v>159</v>
      </c>
      <c r="CX2" t="s">
        <v>160</v>
      </c>
      <c r="CY2" t="s">
        <v>161</v>
      </c>
      <c r="CZ2">
        <v>1.02</v>
      </c>
      <c r="DA2">
        <v>21000</v>
      </c>
      <c r="DB2" s="3">
        <v>-35</v>
      </c>
      <c r="DC2">
        <f>DA2+(DA2*DB2/100)</f>
        <v>13650</v>
      </c>
      <c r="DD2">
        <v>-1</v>
      </c>
      <c r="DE2">
        <v>0</v>
      </c>
      <c r="DF2">
        <v>0</v>
      </c>
      <c r="DG2">
        <f>(CZ2*DC2)+(CZ2*DC2*DD2/100)</f>
        <v>13783.77</v>
      </c>
      <c r="DH2" s="1">
        <v>82.514499999999998</v>
      </c>
      <c r="DI2">
        <v>82.514499999999998</v>
      </c>
      <c r="DJ2">
        <f>DG2*DI2</f>
        <v>1137360.8896649999</v>
      </c>
      <c r="DK2">
        <v>1</v>
      </c>
      <c r="DL2">
        <f>DG2</f>
        <v>13783.77</v>
      </c>
      <c r="DM2">
        <v>2</v>
      </c>
      <c r="DN2">
        <v>1</v>
      </c>
      <c r="DO2">
        <v>-32</v>
      </c>
      <c r="DP2">
        <f>DA2+(DA2*DO2/100)</f>
        <v>14280</v>
      </c>
      <c r="DQ2">
        <f>CZ2*DP2</f>
        <v>14565.6</v>
      </c>
      <c r="DR2">
        <v>-30</v>
      </c>
      <c r="DS2">
        <f>DA2+(DA2*DR2/100)</f>
        <v>14700</v>
      </c>
      <c r="DT2">
        <v>-20</v>
      </c>
      <c r="DU2">
        <f>DA2+(DA2*DT2/100)</f>
        <v>16800</v>
      </c>
      <c r="DV2">
        <v>-33</v>
      </c>
      <c r="DW2">
        <f>DA2+(DA2*DV2/100)</f>
        <v>14070</v>
      </c>
      <c r="DX2">
        <v>1</v>
      </c>
      <c r="DY2" s="6" t="s">
        <v>162</v>
      </c>
      <c r="DZ2" s="6" t="s">
        <v>163</v>
      </c>
      <c r="EA2" s="6" t="s">
        <v>153</v>
      </c>
      <c r="EB2" t="s">
        <v>164</v>
      </c>
    </row>
    <row r="3" spans="1:133" x14ac:dyDescent="0.25">
      <c r="A3" t="s">
        <v>165</v>
      </c>
      <c r="B3" t="s">
        <v>166</v>
      </c>
      <c r="F3" t="s">
        <v>135</v>
      </c>
      <c r="H3" t="s">
        <v>167</v>
      </c>
      <c r="I3" t="s">
        <v>31</v>
      </c>
      <c r="J3" t="s">
        <v>168</v>
      </c>
      <c r="K3">
        <v>1</v>
      </c>
      <c r="L3">
        <v>0.93</v>
      </c>
      <c r="M3">
        <v>15000</v>
      </c>
      <c r="N3">
        <v>-35</v>
      </c>
      <c r="O3">
        <f>M3+(M3*N3/100)</f>
        <v>9750</v>
      </c>
      <c r="P3">
        <f>L3*O3</f>
        <v>9067.5</v>
      </c>
      <c r="S3" t="s">
        <v>169</v>
      </c>
      <c r="T3">
        <v>12124578450</v>
      </c>
      <c r="U3" t="s">
        <v>140</v>
      </c>
      <c r="V3" t="s">
        <v>140</v>
      </c>
      <c r="W3" t="s">
        <v>140</v>
      </c>
      <c r="X3" t="s">
        <v>141</v>
      </c>
      <c r="AD3">
        <v>5.09</v>
      </c>
      <c r="AE3">
        <v>5.1100000000000003</v>
      </c>
      <c r="AF3">
        <v>3.15</v>
      </c>
      <c r="AG3">
        <v>5.1100000000000003</v>
      </c>
      <c r="AH3" s="2" t="s">
        <v>170</v>
      </c>
      <c r="AI3">
        <v>1.02</v>
      </c>
      <c r="AJ3">
        <v>62.49</v>
      </c>
      <c r="AK3" s="3">
        <v>58</v>
      </c>
      <c r="AL3">
        <v>15.5</v>
      </c>
      <c r="AM3">
        <v>36.5</v>
      </c>
      <c r="AN3" s="3">
        <v>41</v>
      </c>
      <c r="AO3" s="3">
        <v>43</v>
      </c>
      <c r="AP3">
        <v>0</v>
      </c>
      <c r="AU3" t="s">
        <v>143</v>
      </c>
      <c r="AV3" s="3">
        <v>4</v>
      </c>
      <c r="AW3" t="s">
        <v>141</v>
      </c>
      <c r="AY3">
        <v>0</v>
      </c>
      <c r="AZ3">
        <v>0</v>
      </c>
      <c r="BA3" t="s">
        <v>171</v>
      </c>
      <c r="BB3" t="s">
        <v>145</v>
      </c>
      <c r="BD3">
        <v>1</v>
      </c>
      <c r="BE3" t="s">
        <v>172</v>
      </c>
      <c r="BF3" s="4"/>
      <c r="BG3" s="5">
        <v>45361</v>
      </c>
      <c r="BH3" s="8">
        <v>45371</v>
      </c>
      <c r="BI3" t="s">
        <v>141</v>
      </c>
      <c r="BJ3" t="s">
        <v>141</v>
      </c>
      <c r="BK3" t="s">
        <v>141</v>
      </c>
      <c r="BU3">
        <v>100</v>
      </c>
      <c r="BY3" s="6" t="s">
        <v>173</v>
      </c>
      <c r="BZ3" s="6" t="s">
        <v>174</v>
      </c>
      <c r="CA3" s="6" t="s">
        <v>175</v>
      </c>
      <c r="CB3" s="6" t="s">
        <v>176</v>
      </c>
      <c r="CC3" s="6" t="s">
        <v>177</v>
      </c>
      <c r="CD3" s="6" t="s">
        <v>178</v>
      </c>
      <c r="CE3" s="6" t="s">
        <v>179</v>
      </c>
      <c r="CF3" s="6" t="s">
        <v>180</v>
      </c>
      <c r="CG3" s="6" t="s">
        <v>181</v>
      </c>
      <c r="CH3" s="6" t="s">
        <v>182</v>
      </c>
      <c r="CI3" s="8">
        <v>45296</v>
      </c>
      <c r="CJ3" s="8">
        <v>45437</v>
      </c>
      <c r="CK3" s="8">
        <v>45296</v>
      </c>
      <c r="CO3" t="s">
        <v>183</v>
      </c>
      <c r="CP3">
        <v>102</v>
      </c>
      <c r="CQ3" s="1">
        <v>30</v>
      </c>
      <c r="CR3" s="1" t="s">
        <v>158</v>
      </c>
      <c r="CS3">
        <v>0</v>
      </c>
      <c r="CV3">
        <v>7</v>
      </c>
      <c r="CW3" t="s">
        <v>159</v>
      </c>
      <c r="CX3" t="s">
        <v>160</v>
      </c>
      <c r="CY3" t="s">
        <v>161</v>
      </c>
      <c r="CZ3">
        <v>0.93</v>
      </c>
      <c r="DA3">
        <v>14000</v>
      </c>
      <c r="DB3" s="3">
        <v>-40</v>
      </c>
      <c r="DC3">
        <f>DA3+(DA3*DB3/100)</f>
        <v>8400</v>
      </c>
      <c r="DD3">
        <v>-1</v>
      </c>
      <c r="DE3">
        <v>0</v>
      </c>
      <c r="DF3">
        <v>0</v>
      </c>
      <c r="DG3">
        <f>(CZ3*DC3)+(CZ3*DC3*DD3/100)</f>
        <v>7733.88</v>
      </c>
      <c r="DH3" s="1">
        <v>81.5351</v>
      </c>
      <c r="DI3">
        <v>81.5351</v>
      </c>
      <c r="DJ3">
        <f>DG3*DI3</f>
        <v>630582.67918800004</v>
      </c>
      <c r="DK3">
        <v>1</v>
      </c>
      <c r="DL3">
        <f>DG3</f>
        <v>7733.88</v>
      </c>
      <c r="DM3">
        <v>2</v>
      </c>
      <c r="DN3">
        <v>1</v>
      </c>
      <c r="DO3">
        <v>-41</v>
      </c>
      <c r="DP3">
        <f>DA3+(DA3*DO3/100)</f>
        <v>8260</v>
      </c>
      <c r="DQ3">
        <f>CZ3*DP3</f>
        <v>7681.8</v>
      </c>
      <c r="DR3">
        <v>-35</v>
      </c>
      <c r="DS3">
        <f>DA3+(DA3*DR3/100)</f>
        <v>9100</v>
      </c>
      <c r="DT3">
        <v>-25</v>
      </c>
      <c r="DU3">
        <f>DA3+(DA3*DT3/100)</f>
        <v>10500</v>
      </c>
      <c r="DV3">
        <v>-42</v>
      </c>
      <c r="DW3">
        <f>DA3+(DA3*DV3/100)</f>
        <v>8120</v>
      </c>
      <c r="DX3">
        <v>1</v>
      </c>
      <c r="DY3" s="6" t="s">
        <v>184</v>
      </c>
      <c r="DZ3" s="6" t="s">
        <v>185</v>
      </c>
      <c r="EA3" s="6" t="s">
        <v>179</v>
      </c>
      <c r="EB3" t="s">
        <v>186</v>
      </c>
    </row>
  </sheetData>
  <hyperlinks>
    <hyperlink ref="BY2" r:id="rId1"/>
    <hyperlink ref="BY3" r:id="rId2"/>
    <hyperlink ref="BZ2" r:id="rId3"/>
    <hyperlink ref="CA2" r:id="rId4"/>
    <hyperlink ref="CA3" r:id="rId5"/>
    <hyperlink ref="CB2" r:id="rId6"/>
    <hyperlink ref="CB3" r:id="rId7"/>
    <hyperlink ref="CC2" r:id="rId8"/>
    <hyperlink ref="CE2" r:id="rId9"/>
    <hyperlink ref="CH2" r:id="rId10"/>
    <hyperlink ref="BZ3" r:id="rId11"/>
    <hyperlink ref="CC3" r:id="rId12"/>
    <hyperlink ref="CD2" r:id="rId13"/>
    <hyperlink ref="CD3" r:id="rId14"/>
    <hyperlink ref="CE3" r:id="rId15"/>
    <hyperlink ref="CF2" r:id="rId16"/>
    <hyperlink ref="CF3" r:id="rId17"/>
    <hyperlink ref="CG2" r:id="rId18"/>
    <hyperlink ref="CG3" r:id="rId19"/>
    <hyperlink ref="CH3" r:id="rId20"/>
    <hyperlink ref="DY2" r:id="rId21"/>
    <hyperlink ref="DY3" r:id="rId22"/>
    <hyperlink ref="DZ2" r:id="rId23"/>
    <hyperlink ref="DZ3" r:id="rId24"/>
    <hyperlink ref="EA2" r:id="rId25"/>
    <hyperlink ref="EA3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SRM4</dc:creator>
  <cp:lastModifiedBy>SRM4</cp:lastModifiedBy>
  <dcterms:created xsi:type="dcterms:W3CDTF">2024-06-29T09:13:06Z</dcterms:created>
  <dcterms:modified xsi:type="dcterms:W3CDTF">2024-08-27T11:06:13Z</dcterms:modified>
</cp:coreProperties>
</file>